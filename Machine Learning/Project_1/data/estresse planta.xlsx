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"/>
    </mc:Choice>
  </mc:AlternateContent>
  <xr:revisionPtr revIDLastSave="0" documentId="8_{5DA7BB25-239B-4508-A10C-6C689637B498}" xr6:coauthVersionLast="47" xr6:coauthVersionMax="47" xr10:uidLastSave="{00000000-0000-0000-0000-000000000000}"/>
  <bookViews>
    <workbookView xWindow="-108" yWindow="-108" windowWidth="23256" windowHeight="12456" xr2:uid="{C09D3128-C396-4C6A-9E8B-5556E45746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  <c r="I6" i="1"/>
  <c r="I3" i="1"/>
  <c r="I4" i="1"/>
  <c r="I5" i="1"/>
  <c r="I7" i="1"/>
  <c r="I2" i="1"/>
  <c r="F7" i="1"/>
  <c r="F5" i="1"/>
  <c r="F6" i="1"/>
  <c r="F4" i="1"/>
  <c r="F2" i="1"/>
  <c r="F3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<sst xmlns="http://schemas.openxmlformats.org/spreadsheetml/2006/main" count="29" uniqueCount="16">
  <si>
    <t>Profundidade_cm</t>
  </si>
  <si>
    <t>Identificacao</t>
  </si>
  <si>
    <t>Data_coleta</t>
  </si>
  <si>
    <t>0-30</t>
  </si>
  <si>
    <t>SOLO D1</t>
  </si>
  <si>
    <t>SOLO PD1</t>
  </si>
  <si>
    <t>Umidade_volumetrica_porcentagem</t>
  </si>
  <si>
    <t>CAD (m³/m³)</t>
  </si>
  <si>
    <t>CC (m³/m³)</t>
  </si>
  <si>
    <t>PMP (m³/m³)</t>
  </si>
  <si>
    <t>conteudo_volumetrico_de_agua (m³/m³)</t>
  </si>
  <si>
    <t>Agua disponivel na data (m³/m³)</t>
  </si>
  <si>
    <t>% da CAD disponível na data</t>
  </si>
  <si>
    <t>Conclusão</t>
  </si>
  <si>
    <t>ESTRESSE</t>
  </si>
  <si>
    <t>SEM ESTRESSE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</si>
</sst>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A1EF-77A3-4CDC-82C0-BB81AA4BDDAF}">
  <dimension ref="A1:K7"/>
  <sheetViews>
    <sheetView tabSelected="1" workbookViewId="0">
      <selection activeCell="I14" sqref="I14"/>
    </sheetView>
  </sheetViews>
  <sheetFormatPr defaultRowHeight="14.4" x14ac:dyDescent="0.3"/>
  <cols>
    <col min="1" max="1" width="15.44140625" bestFit="1" customWidth="1"/>
    <col min="2" max="2" width="11.6640625" bestFit="1" customWidth="1"/>
    <col min="3" max="3" width="11" bestFit="1" customWidth="1"/>
    <col min="4" max="4" width="31.33203125" bestFit="1" customWidth="1"/>
    <col min="5" max="5" width="34.88671875" bestFit="1" customWidth="1"/>
    <col min="6" max="6" width="11.21875" bestFit="1" customWidth="1"/>
    <col min="7" max="7" width="10" bestFit="1" customWidth="1"/>
    <col min="8" max="8" width="11.44140625" bestFit="1" customWidth="1"/>
    <col min="9" max="9" width="27.33203125" bestFit="1" customWidth="1"/>
    <col min="10" max="10" width="24.21875" bestFit="1" customWidth="1"/>
    <col min="11" max="11" width="12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</v>
      </c>
      <c r="E1" t="s">
        <v>10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</row>
    <row r="2" spans="1:11" x14ac:dyDescent="0.3">
      <c r="A2" t="s">
        <v>3</v>
      </c>
      <c r="B2" t="s">
        <v>4</v>
      </c>
      <c r="C2" s="1">
        <v>45281</v>
      </c>
      <c r="D2" s="2">
        <v>29.6585</v>
      </c>
      <c r="E2" s="3">
        <f>D2/100</f>
        <v>0.29658499999999999</v>
      </c>
      <c r="F2" s="3">
        <f>G2-H2</f>
        <v>8.2000000000000017E-2</v>
      </c>
      <c r="G2" s="3">
        <v>0.39600000000000002</v>
      </c>
      <c r="H2" s="3">
        <v>0.314</v>
      </c>
      <c r="I2" s="3">
        <f>E2-H2</f>
        <v>-1.7415000000000014E-2</v>
      </c>
      <c r="J2" s="3">
        <f>(I2*100)/F2</f>
        <v>-21.237804878048792</v>
      </c>
      <c r="K2" t="s">
        <v>14</v>
      </c>
    </row>
    <row r="3" spans="1:11" x14ac:dyDescent="0.3">
      <c r="A3" t="s">
        <v>3</v>
      </c>
      <c r="B3" t="s">
        <v>5</v>
      </c>
      <c r="C3" s="1">
        <v>45281</v>
      </c>
      <c r="D3" s="2">
        <v>31.7745</v>
      </c>
      <c r="E3" s="3">
        <f t="shared" ref="E3:E7" si="0">D3/100</f>
        <v>0.317745</v>
      </c>
      <c r="F3" s="3">
        <f>G3-H3</f>
        <v>0.1013</v>
      </c>
      <c r="G3">
        <v>0.41110000000000002</v>
      </c>
      <c r="H3">
        <v>0.30980000000000002</v>
      </c>
      <c r="I3" s="3">
        <f t="shared" ref="I3:I7" si="1">E3-H3</f>
        <v>7.9449999999999799E-3</v>
      </c>
      <c r="J3" s="3">
        <f t="shared" ref="J3:J7" si="2">(I3*100)/F3</f>
        <v>7.843040473840059</v>
      </c>
      <c r="K3" t="s">
        <v>14</v>
      </c>
    </row>
    <row r="4" spans="1:11" x14ac:dyDescent="0.3">
      <c r="A4" t="s">
        <v>3</v>
      </c>
      <c r="B4" t="s">
        <v>4</v>
      </c>
      <c r="C4" s="1">
        <v>45288</v>
      </c>
      <c r="D4" s="2">
        <v>31.303000000000001</v>
      </c>
      <c r="E4" s="3">
        <f t="shared" si="0"/>
        <v>0.31303000000000003</v>
      </c>
      <c r="F4" s="3">
        <f>G4-H4</f>
        <v>8.2000000000000017E-2</v>
      </c>
      <c r="G4" s="3">
        <v>0.39600000000000002</v>
      </c>
      <c r="H4" s="3">
        <v>0.314</v>
      </c>
      <c r="I4" s="3">
        <f t="shared" si="1"/>
        <v>-9.6999999999997089E-4</v>
      </c>
      <c r="J4" s="3">
        <f t="shared" si="2"/>
        <v>-1.1829268292682569</v>
      </c>
      <c r="K4" t="s">
        <v>14</v>
      </c>
    </row>
    <row r="5" spans="1:11" x14ac:dyDescent="0.3">
      <c r="A5" t="s">
        <v>3</v>
      </c>
      <c r="B5" t="s">
        <v>5</v>
      </c>
      <c r="C5" s="1">
        <v>45288</v>
      </c>
      <c r="D5" s="2">
        <v>31.061499999999999</v>
      </c>
      <c r="E5" s="3">
        <f t="shared" si="0"/>
        <v>0.31061499999999997</v>
      </c>
      <c r="F5" s="3">
        <f>G5-H5</f>
        <v>0.1013</v>
      </c>
      <c r="G5">
        <v>0.41110000000000002</v>
      </c>
      <c r="H5">
        <v>0.30980000000000002</v>
      </c>
      <c r="I5" s="3">
        <f t="shared" si="1"/>
        <v>8.1499999999995465E-4</v>
      </c>
      <c r="J5" s="3">
        <f t="shared" si="2"/>
        <v>0.80454096742344983</v>
      </c>
      <c r="K5" t="s">
        <v>14</v>
      </c>
    </row>
    <row r="6" spans="1:11" x14ac:dyDescent="0.3">
      <c r="A6" t="s">
        <v>3</v>
      </c>
      <c r="B6" t="s">
        <v>4</v>
      </c>
      <c r="C6" s="1">
        <v>45306</v>
      </c>
      <c r="D6" s="2">
        <v>40.963000000000001</v>
      </c>
      <c r="E6" s="3">
        <f t="shared" si="0"/>
        <v>0.40962999999999999</v>
      </c>
      <c r="F6" s="3">
        <f>G6-H6</f>
        <v>8.2000000000000017E-2</v>
      </c>
      <c r="G6" s="3">
        <v>0.39600000000000002</v>
      </c>
      <c r="H6" s="3">
        <v>0.314</v>
      </c>
      <c r="I6" s="3">
        <f>F6</f>
        <v>8.2000000000000017E-2</v>
      </c>
      <c r="J6" s="3">
        <f t="shared" si="2"/>
        <v>99.999999999999986</v>
      </c>
      <c r="K6" t="s">
        <v>15</v>
      </c>
    </row>
    <row r="7" spans="1:11" x14ac:dyDescent="0.3">
      <c r="A7" t="s">
        <v>3</v>
      </c>
      <c r="B7" t="s">
        <v>5</v>
      </c>
      <c r="C7" s="1">
        <v>45306</v>
      </c>
      <c r="D7" s="2">
        <v>40.307499999999997</v>
      </c>
      <c r="E7" s="3">
        <f t="shared" si="0"/>
        <v>0.40307499999999996</v>
      </c>
      <c r="F7" s="3">
        <f>G7-H7</f>
        <v>0.1013</v>
      </c>
      <c r="G7">
        <v>0.41110000000000002</v>
      </c>
      <c r="H7">
        <v>0.30980000000000002</v>
      </c>
      <c r="I7" s="3">
        <f t="shared" si="1"/>
        <v>9.3274999999999941E-2</v>
      </c>
      <c r="J7" s="3">
        <f t="shared" si="2"/>
        <v>92.077986179664293</v>
      </c>
      <c r="K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 Santiago Horta</dc:creator>
  <cp:lastModifiedBy>Rafael da Mata Santiago Horta</cp:lastModifiedBy>
  <dcterms:created xsi:type="dcterms:W3CDTF">2025-10-16T01:14:22Z</dcterms:created>
  <dcterms:modified xsi:type="dcterms:W3CDTF">2025-10-16T01:43:23Z</dcterms:modified>
</cp:coreProperties>
</file>