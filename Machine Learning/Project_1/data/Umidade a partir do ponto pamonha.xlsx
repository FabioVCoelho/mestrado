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B2FF8B97-D8F3-40CF-9758-06E3AD3E511B}" xr6:coauthVersionLast="47" xr6:coauthVersionMax="47" xr10:uidLastSave="{00000000-0000-0000-0000-000000000000}"/>
  <bookViews>
    <workbookView xWindow="-108" yWindow="-108" windowWidth="23256" windowHeight="12456" xr2:uid="{A07CB433-B7D9-4163-9AFC-0CBF03C6429B}"/>
  </bookViews>
  <sheets>
    <sheet name="UMID. A PARTIR DO P. DE PAMON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</calcChain>
</file>

<file path=xl/sharedStrings.xml><?xml version="1.0" encoding="utf-8"?>
<sst xmlns="http://schemas.openxmlformats.org/spreadsheetml/2006/main" count="43" uniqueCount="13">
  <si>
    <t>valor de umidade do grão na maturação fisiológica</t>
  </si>
  <si>
    <t>F3DG3</t>
  </si>
  <si>
    <t>F3DG2</t>
  </si>
  <si>
    <t>F3DG1</t>
  </si>
  <si>
    <t>F3PDG3</t>
  </si>
  <si>
    <t>F3PDG2</t>
  </si>
  <si>
    <t>F3PDG1</t>
  </si>
  <si>
    <t>Umidade_porcentagem</t>
  </si>
  <si>
    <t>Tara_g</t>
  </si>
  <si>
    <t>Peso_seco_g</t>
  </si>
  <si>
    <t>Peso_fresco_g</t>
  </si>
  <si>
    <t>Amostra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</si>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</sst>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"/>
  </numFmts>
  <fonts count="6" x14ac:knownFonts="1">
    <font>
      <sz val="10"/>
      <color rgb="FF000000"/>
      <name val="Calibri"/>
      <scheme val="minor"/>
    </font>
    <font>
      <sz val="10"/>
      <color rgb="FF000000"/>
      <name val="Calibri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2484-BDAD-44F6-A413-DCD4D0F49ED4}">
  <dimension ref="A1:Z996"/>
  <sheetViews>
    <sheetView tabSelected="1" workbookViewId="0">
      <selection sqref="A1:XFD1"/>
    </sheetView>
  </sheetViews>
  <sheetFormatPr defaultColWidth="12.6640625" defaultRowHeight="15" customHeight="1" x14ac:dyDescent="0.3"/>
  <cols>
    <col min="1" max="1" width="10.109375" customWidth="1"/>
    <col min="2" max="2" width="10.21875" customWidth="1"/>
    <col min="3" max="3" width="16.77734375" customWidth="1"/>
    <col min="4" max="4" width="15.88671875" customWidth="1"/>
    <col min="5" max="5" width="15.109375" customWidth="1"/>
    <col min="6" max="6" width="19.88671875" bestFit="1" customWidth="1"/>
    <col min="7" max="8" width="9.109375" customWidth="1"/>
    <col min="9" max="26" width="8.6640625" customWidth="1"/>
  </cols>
  <sheetData>
    <row r="1" spans="1:26" ht="15.6" x14ac:dyDescent="0.3">
      <c r="A1" s="2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7" t="s">
        <v>12</v>
      </c>
      <c r="B2" t="s">
        <v>11</v>
      </c>
      <c r="C2" s="6" t="s">
        <v>10</v>
      </c>
      <c r="D2" s="6" t="s">
        <v>9</v>
      </c>
      <c r="E2" s="6" t="s">
        <v>8</v>
      </c>
      <c r="F2" s="6" t="s">
        <v>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4">
        <v>45351</v>
      </c>
      <c r="B3">
        <v>1</v>
      </c>
      <c r="C3" s="3">
        <v>247.88</v>
      </c>
      <c r="D3" s="3">
        <v>174.39</v>
      </c>
      <c r="E3" s="3">
        <v>65.45</v>
      </c>
      <c r="F3" s="3">
        <f t="shared" ref="F3:F34" si="0">(C3-D3)/(C3-E3)*100</f>
        <v>40.283944526667767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4">
        <v>45351</v>
      </c>
      <c r="B4">
        <v>2</v>
      </c>
      <c r="C4" s="3">
        <v>248.55</v>
      </c>
      <c r="D4" s="3">
        <v>175.88</v>
      </c>
      <c r="E4" s="3">
        <v>63.55</v>
      </c>
      <c r="F4" s="3">
        <f t="shared" si="0"/>
        <v>39.281081081081091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4">
        <v>45351</v>
      </c>
      <c r="B5">
        <v>3</v>
      </c>
      <c r="C5" s="3">
        <v>237.25</v>
      </c>
      <c r="D5" s="3">
        <v>163.43</v>
      </c>
      <c r="E5" s="3">
        <v>67.22</v>
      </c>
      <c r="F5" s="3">
        <f t="shared" si="0"/>
        <v>43.415867788037396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4">
        <v>45351</v>
      </c>
      <c r="B6">
        <v>4</v>
      </c>
      <c r="C6" s="3">
        <v>246.2</v>
      </c>
      <c r="D6" s="3">
        <v>172.72</v>
      </c>
      <c r="E6" s="3">
        <v>64.92</v>
      </c>
      <c r="F6" s="3">
        <f t="shared" si="0"/>
        <v>40.533980582524272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4">
        <v>45351</v>
      </c>
      <c r="B7">
        <v>5</v>
      </c>
      <c r="C7" s="3">
        <v>256.36</v>
      </c>
      <c r="D7" s="3">
        <v>179.45</v>
      </c>
      <c r="E7" s="3">
        <v>60.82</v>
      </c>
      <c r="F7" s="3">
        <f t="shared" si="0"/>
        <v>39.332105962974332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4">
        <v>45357</v>
      </c>
      <c r="B8">
        <v>1</v>
      </c>
      <c r="C8" s="3">
        <v>237.43</v>
      </c>
      <c r="D8" s="3">
        <v>174.61</v>
      </c>
      <c r="E8" s="3">
        <v>65.45</v>
      </c>
      <c r="F8" s="3">
        <f t="shared" si="0"/>
        <v>36.527503198046276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4">
        <v>45357</v>
      </c>
      <c r="B9">
        <v>2</v>
      </c>
      <c r="C9" s="3">
        <v>188.01</v>
      </c>
      <c r="D9" s="3">
        <v>147.65</v>
      </c>
      <c r="E9" s="3">
        <v>63.55</v>
      </c>
      <c r="F9" s="3">
        <f t="shared" si="0"/>
        <v>32.428089345974598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4">
        <v>45357</v>
      </c>
      <c r="B10">
        <v>3</v>
      </c>
      <c r="C10" s="3">
        <v>200</v>
      </c>
      <c r="D10" s="3">
        <v>154.85</v>
      </c>
      <c r="E10" s="3">
        <v>67.22</v>
      </c>
      <c r="F10" s="3">
        <f t="shared" si="0"/>
        <v>34.00361500225938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4">
        <v>45357</v>
      </c>
      <c r="B11">
        <v>4</v>
      </c>
      <c r="C11" s="3">
        <v>227.34</v>
      </c>
      <c r="D11" s="3">
        <v>170.12</v>
      </c>
      <c r="E11" s="3">
        <v>64.92</v>
      </c>
      <c r="F11" s="3">
        <f t="shared" si="0"/>
        <v>35.229651520748675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4">
        <v>45357</v>
      </c>
      <c r="B12">
        <v>5</v>
      </c>
      <c r="C12" s="3">
        <v>203.82</v>
      </c>
      <c r="D12" s="3">
        <v>148.71</v>
      </c>
      <c r="E12" s="3">
        <v>60.82</v>
      </c>
      <c r="F12" s="3">
        <f t="shared" si="0"/>
        <v>38.538461538461526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4">
        <v>45359</v>
      </c>
      <c r="B13">
        <v>1</v>
      </c>
      <c r="C13" s="3">
        <v>259.16000000000003</v>
      </c>
      <c r="D13" s="3">
        <v>187.1</v>
      </c>
      <c r="E13" s="3">
        <v>65.45</v>
      </c>
      <c r="F13" s="3">
        <f t="shared" si="0"/>
        <v>37.199938051726818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4">
        <v>45359</v>
      </c>
      <c r="B14">
        <v>2</v>
      </c>
      <c r="C14" s="3">
        <v>221.53</v>
      </c>
      <c r="D14" s="3">
        <v>162.83000000000001</v>
      </c>
      <c r="E14" s="3">
        <v>63.55</v>
      </c>
      <c r="F14" s="3">
        <f t="shared" si="0"/>
        <v>37.156602101531824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4">
        <v>45359</v>
      </c>
      <c r="B15">
        <v>3</v>
      </c>
      <c r="C15" s="3">
        <v>225.95</v>
      </c>
      <c r="D15" s="3">
        <v>167.21</v>
      </c>
      <c r="E15" s="3">
        <v>67.22</v>
      </c>
      <c r="F15" s="3">
        <f t="shared" si="0"/>
        <v>37.006237006237001</v>
      </c>
      <c r="G15" s="1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4">
        <v>45359</v>
      </c>
      <c r="B16">
        <v>4</v>
      </c>
      <c r="C16" s="3">
        <v>203.22</v>
      </c>
      <c r="D16" s="3">
        <v>151.19999999999999</v>
      </c>
      <c r="E16" s="3">
        <v>64.92</v>
      </c>
      <c r="F16" s="3">
        <f t="shared" si="0"/>
        <v>37.613882863340571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4">
        <v>45359</v>
      </c>
      <c r="B17">
        <v>5</v>
      </c>
      <c r="C17" s="3">
        <v>237.12</v>
      </c>
      <c r="D17" s="3">
        <v>171.72</v>
      </c>
      <c r="E17" s="3">
        <v>60.82</v>
      </c>
      <c r="F17" s="3">
        <f t="shared" si="0"/>
        <v>37.095859330686331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4">
        <v>45362</v>
      </c>
      <c r="B18">
        <v>1</v>
      </c>
      <c r="C18" s="3">
        <v>224.51</v>
      </c>
      <c r="D18" s="3">
        <v>172.39</v>
      </c>
      <c r="E18" s="3">
        <v>65.45</v>
      </c>
      <c r="F18" s="3">
        <f t="shared" si="0"/>
        <v>32.767509116056836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4">
        <v>45362</v>
      </c>
      <c r="B19">
        <v>2</v>
      </c>
      <c r="C19" s="3">
        <v>233.47</v>
      </c>
      <c r="D19" s="3">
        <v>175.82</v>
      </c>
      <c r="E19" s="3">
        <v>63.55</v>
      </c>
      <c r="F19" s="3">
        <f t="shared" si="0"/>
        <v>33.927730696798491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>
        <v>45362</v>
      </c>
      <c r="B20">
        <v>3</v>
      </c>
      <c r="C20" s="3">
        <v>233.5</v>
      </c>
      <c r="D20" s="3">
        <v>176.78</v>
      </c>
      <c r="E20" s="3">
        <v>67.22</v>
      </c>
      <c r="F20" s="3">
        <f t="shared" si="0"/>
        <v>34.111137839788306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>
        <v>45362</v>
      </c>
      <c r="B21">
        <v>4</v>
      </c>
      <c r="C21" s="3">
        <v>212.34</v>
      </c>
      <c r="D21" s="3">
        <v>163.4</v>
      </c>
      <c r="E21" s="3">
        <v>64.92</v>
      </c>
      <c r="F21" s="3">
        <f t="shared" si="0"/>
        <v>33.197666530999861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>
        <v>45362</v>
      </c>
      <c r="B22">
        <v>5</v>
      </c>
      <c r="C22" s="3">
        <v>237.71</v>
      </c>
      <c r="D22" s="3">
        <v>180.07</v>
      </c>
      <c r="E22" s="3">
        <v>60.82</v>
      </c>
      <c r="F22" s="3">
        <f t="shared" si="0"/>
        <v>32.585222454632827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>
        <v>45364</v>
      </c>
      <c r="B23">
        <v>1</v>
      </c>
      <c r="C23" s="3">
        <v>279.35000000000002</v>
      </c>
      <c r="D23" s="3">
        <v>205.13</v>
      </c>
      <c r="E23" s="3">
        <v>65.45</v>
      </c>
      <c r="F23" s="3">
        <f t="shared" si="0"/>
        <v>34.698457223001412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">
        <v>45364</v>
      </c>
      <c r="B24">
        <v>2</v>
      </c>
      <c r="C24" s="3">
        <v>234.24</v>
      </c>
      <c r="D24" s="3">
        <v>180.32</v>
      </c>
      <c r="E24" s="3">
        <v>63.55</v>
      </c>
      <c r="F24" s="3">
        <f t="shared" si="0"/>
        <v>31.589431132462369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">
        <v>45364</v>
      </c>
      <c r="B25">
        <v>3</v>
      </c>
      <c r="C25" s="3">
        <v>243.05</v>
      </c>
      <c r="D25" s="3">
        <v>189</v>
      </c>
      <c r="E25" s="3">
        <v>67.22</v>
      </c>
      <c r="F25" s="3">
        <f t="shared" si="0"/>
        <v>30.739919240175173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">
        <v>45364</v>
      </c>
      <c r="B26">
        <v>4</v>
      </c>
      <c r="C26" s="3">
        <v>220.02</v>
      </c>
      <c r="D26" s="3">
        <v>167.17</v>
      </c>
      <c r="E26" s="3">
        <v>64.92</v>
      </c>
      <c r="F26" s="3">
        <f t="shared" si="0"/>
        <v>34.07479045776919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">
        <v>45364</v>
      </c>
      <c r="B27">
        <v>5</v>
      </c>
      <c r="C27" s="3">
        <v>226.77</v>
      </c>
      <c r="D27" s="3">
        <v>171.27</v>
      </c>
      <c r="E27" s="3">
        <v>60.82</v>
      </c>
      <c r="F27" s="3">
        <f t="shared" si="0"/>
        <v>33.443808376016868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">
        <v>45366</v>
      </c>
      <c r="B28" t="s">
        <v>6</v>
      </c>
      <c r="C28" s="3">
        <v>142.08000000000001</v>
      </c>
      <c r="D28" s="3">
        <v>118.39</v>
      </c>
      <c r="E28" s="3">
        <v>65.45</v>
      </c>
      <c r="F28" s="3">
        <f t="shared" si="0"/>
        <v>30.914785332115368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>
        <v>45366</v>
      </c>
      <c r="B29" t="s">
        <v>5</v>
      </c>
      <c r="C29" s="3">
        <v>124.71</v>
      </c>
      <c r="D29" s="3">
        <v>105.78</v>
      </c>
      <c r="E29" s="3">
        <v>63.55</v>
      </c>
      <c r="F29" s="3">
        <f t="shared" si="0"/>
        <v>30.951602354480041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>
        <v>45366</v>
      </c>
      <c r="B30" t="s">
        <v>4</v>
      </c>
      <c r="C30" s="3">
        <v>155.27000000000001</v>
      </c>
      <c r="D30" s="3">
        <v>126.82</v>
      </c>
      <c r="E30" s="3">
        <v>67.22</v>
      </c>
      <c r="F30" s="3">
        <f t="shared" si="0"/>
        <v>32.311186825667249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>
        <v>45366</v>
      </c>
      <c r="B31" t="s">
        <v>3</v>
      </c>
      <c r="C31" s="3">
        <v>105.9</v>
      </c>
      <c r="D31" s="3">
        <v>93.09</v>
      </c>
      <c r="E31" s="3">
        <v>64.92</v>
      </c>
      <c r="F31" s="3">
        <f t="shared" si="0"/>
        <v>31.25915080527087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>
        <v>45366</v>
      </c>
      <c r="B32" t="s">
        <v>2</v>
      </c>
      <c r="C32" s="3">
        <v>132.13999999999999</v>
      </c>
      <c r="D32" s="3">
        <v>111.49</v>
      </c>
      <c r="E32" s="3">
        <v>60.82</v>
      </c>
      <c r="F32" s="3">
        <f t="shared" si="0"/>
        <v>28.954010095344916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>
        <v>45366</v>
      </c>
      <c r="B33" t="s">
        <v>1</v>
      </c>
      <c r="C33" s="3">
        <v>140.61000000000001</v>
      </c>
      <c r="D33" s="3">
        <v>119.35</v>
      </c>
      <c r="E33" s="3">
        <v>72.75</v>
      </c>
      <c r="F33" s="3">
        <f t="shared" si="0"/>
        <v>31.329207191276183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">
        <v>45369</v>
      </c>
      <c r="B34" t="s">
        <v>6</v>
      </c>
      <c r="C34" s="3">
        <v>165</v>
      </c>
      <c r="D34" s="3">
        <v>139.30000000000001</v>
      </c>
      <c r="E34" s="3">
        <v>65.45</v>
      </c>
      <c r="F34" s="3">
        <f t="shared" si="0"/>
        <v>25.816172777498736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">
        <v>45369</v>
      </c>
      <c r="B35" t="s">
        <v>5</v>
      </c>
      <c r="C35" s="3">
        <v>193.03</v>
      </c>
      <c r="D35" s="3">
        <v>159.5</v>
      </c>
      <c r="E35" s="3">
        <v>63.55</v>
      </c>
      <c r="F35" s="3">
        <f t="shared" ref="F35:F66" si="1">(C35-D35)/(C35-E35)*100</f>
        <v>25.895891257337038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>
        <v>45369</v>
      </c>
      <c r="B36" t="s">
        <v>4</v>
      </c>
      <c r="C36" s="3">
        <v>159.13</v>
      </c>
      <c r="D36" s="3">
        <v>131.21</v>
      </c>
      <c r="E36" s="3">
        <v>67.22</v>
      </c>
      <c r="F36" s="3">
        <f t="shared" si="1"/>
        <v>30.377543248830364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">
        <v>45369</v>
      </c>
      <c r="B37" t="s">
        <v>3</v>
      </c>
      <c r="C37" s="3">
        <v>185.24</v>
      </c>
      <c r="D37" s="3">
        <v>150.58000000000001</v>
      </c>
      <c r="E37" s="3">
        <v>64.92</v>
      </c>
      <c r="F37" s="3">
        <f t="shared" si="1"/>
        <v>28.806515957446805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4">
        <v>45369</v>
      </c>
      <c r="B38" t="s">
        <v>2</v>
      </c>
      <c r="C38" s="3">
        <v>105.51</v>
      </c>
      <c r="D38" s="3">
        <v>92.66</v>
      </c>
      <c r="E38" s="3">
        <v>60.82</v>
      </c>
      <c r="F38" s="3">
        <f t="shared" si="1"/>
        <v>28.753636160214828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">
        <v>45369</v>
      </c>
      <c r="B39" t="s">
        <v>1</v>
      </c>
      <c r="C39" s="3">
        <v>155.88</v>
      </c>
      <c r="D39" s="3">
        <v>133.68</v>
      </c>
      <c r="E39" s="3">
        <v>72.75</v>
      </c>
      <c r="F39" s="3">
        <f t="shared" si="1"/>
        <v>26.705160591844084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">
        <v>45371</v>
      </c>
      <c r="B40" t="s">
        <v>6</v>
      </c>
      <c r="C40" s="3">
        <v>115.75</v>
      </c>
      <c r="D40" s="3">
        <v>101.61</v>
      </c>
      <c r="E40" s="3">
        <v>65.45</v>
      </c>
      <c r="F40" s="3">
        <f t="shared" si="1"/>
        <v>28.111332007952289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>
        <v>45371</v>
      </c>
      <c r="B41" t="s">
        <v>5</v>
      </c>
      <c r="C41" s="3">
        <v>108.91</v>
      </c>
      <c r="D41" s="3">
        <v>97.69</v>
      </c>
      <c r="E41" s="3">
        <v>63.55</v>
      </c>
      <c r="F41" s="3">
        <f t="shared" si="1"/>
        <v>24.735449735449734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">
        <v>45371</v>
      </c>
      <c r="B42" t="s">
        <v>4</v>
      </c>
      <c r="C42" s="3">
        <v>123.25</v>
      </c>
      <c r="D42" s="3">
        <v>107.45</v>
      </c>
      <c r="E42" s="3">
        <v>67.22</v>
      </c>
      <c r="F42" s="3">
        <f t="shared" si="1"/>
        <v>28.19917901124397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>
        <v>45371</v>
      </c>
      <c r="B43" t="s">
        <v>3</v>
      </c>
      <c r="C43" s="3">
        <v>105.13</v>
      </c>
      <c r="D43" s="3">
        <v>97.33</v>
      </c>
      <c r="E43" s="3">
        <v>64.92</v>
      </c>
      <c r="F43" s="3">
        <f t="shared" si="1"/>
        <v>19.398159661775676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">
        <v>45371</v>
      </c>
      <c r="B44" t="s">
        <v>2</v>
      </c>
      <c r="C44" s="3">
        <v>118.12</v>
      </c>
      <c r="D44" s="3">
        <v>102.12</v>
      </c>
      <c r="E44" s="3">
        <v>60.82</v>
      </c>
      <c r="F44" s="3">
        <f t="shared" si="1"/>
        <v>27.923211169284468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">
        <v>45371</v>
      </c>
      <c r="B45" t="s">
        <v>1</v>
      </c>
      <c r="C45" s="3">
        <v>130.03</v>
      </c>
      <c r="D45" s="3">
        <v>115.52</v>
      </c>
      <c r="E45" s="3">
        <v>72.75</v>
      </c>
      <c r="F45" s="3">
        <f t="shared" si="1"/>
        <v>25.331703910614532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">
        <v>45373</v>
      </c>
      <c r="B46" t="s">
        <v>6</v>
      </c>
      <c r="C46" s="3">
        <v>166.16</v>
      </c>
      <c r="D46" s="3">
        <v>140.29</v>
      </c>
      <c r="E46" s="3">
        <v>65.45</v>
      </c>
      <c r="F46" s="3">
        <f t="shared" si="1"/>
        <v>25.68761791281899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">
        <v>45373</v>
      </c>
      <c r="B47" t="s">
        <v>5</v>
      </c>
      <c r="C47" s="3">
        <v>152.78</v>
      </c>
      <c r="D47" s="3">
        <v>128.15</v>
      </c>
      <c r="E47" s="3">
        <v>63.55</v>
      </c>
      <c r="F47" s="3">
        <f t="shared" si="1"/>
        <v>27.602824162277255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">
        <v>45373</v>
      </c>
      <c r="B48" t="s">
        <v>4</v>
      </c>
      <c r="C48" s="3">
        <v>101.9</v>
      </c>
      <c r="D48" s="3">
        <v>94.16</v>
      </c>
      <c r="E48" s="3">
        <v>67.22</v>
      </c>
      <c r="F48" s="3">
        <f t="shared" si="1"/>
        <v>22.318339100346044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">
        <v>45373</v>
      </c>
      <c r="B49" t="s">
        <v>3</v>
      </c>
      <c r="C49" s="3">
        <v>187.11</v>
      </c>
      <c r="D49" s="3">
        <v>154.74</v>
      </c>
      <c r="E49" s="3">
        <v>64.92</v>
      </c>
      <c r="F49" s="3">
        <f t="shared" si="1"/>
        <v>26.491529585072431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">
        <v>45373</v>
      </c>
      <c r="B50" t="s">
        <v>2</v>
      </c>
      <c r="C50" s="3">
        <v>165.73</v>
      </c>
      <c r="D50" s="3">
        <v>138.63999999999999</v>
      </c>
      <c r="E50" s="3">
        <v>60.82</v>
      </c>
      <c r="F50" s="3">
        <f t="shared" si="1"/>
        <v>25.8221332570775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">
        <v>45373</v>
      </c>
      <c r="B51" t="s">
        <v>1</v>
      </c>
      <c r="C51" s="3">
        <v>164.77</v>
      </c>
      <c r="D51" s="3">
        <v>137.72999999999999</v>
      </c>
      <c r="E51" s="3">
        <v>72.75</v>
      </c>
      <c r="F51" s="3">
        <f t="shared" si="1"/>
        <v>29.384916322538597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">
        <v>45376</v>
      </c>
      <c r="B52" t="s">
        <v>6</v>
      </c>
      <c r="C52" s="3">
        <v>182.56</v>
      </c>
      <c r="D52" s="3">
        <v>155.47999999999999</v>
      </c>
      <c r="E52" s="3">
        <v>65.45</v>
      </c>
      <c r="F52" s="3">
        <f t="shared" si="1"/>
        <v>23.123559047049795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4">
        <v>45376</v>
      </c>
      <c r="B53" t="s">
        <v>5</v>
      </c>
      <c r="C53" s="3">
        <v>140.26</v>
      </c>
      <c r="D53" s="3">
        <v>122.18</v>
      </c>
      <c r="E53" s="3">
        <v>63.55</v>
      </c>
      <c r="F53" s="3">
        <f t="shared" si="1"/>
        <v>23.569286924781625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4">
        <v>45376</v>
      </c>
      <c r="B54" t="s">
        <v>4</v>
      </c>
      <c r="C54" s="3">
        <v>148.46</v>
      </c>
      <c r="D54" s="3">
        <v>129.80000000000001</v>
      </c>
      <c r="E54" s="3">
        <v>67.22</v>
      </c>
      <c r="F54" s="3">
        <f t="shared" si="1"/>
        <v>22.968980797636625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4">
        <v>45376</v>
      </c>
      <c r="B55" t="s">
        <v>3</v>
      </c>
      <c r="C55" s="3">
        <v>142.52000000000001</v>
      </c>
      <c r="D55" s="3">
        <v>123.8</v>
      </c>
      <c r="E55" s="3">
        <v>64.92</v>
      </c>
      <c r="F55" s="3">
        <f t="shared" si="1"/>
        <v>24.123711340206199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4">
        <v>45376</v>
      </c>
      <c r="B56" t="s">
        <v>2</v>
      </c>
      <c r="C56" s="3">
        <v>128.86000000000001</v>
      </c>
      <c r="D56" s="3">
        <v>112.29</v>
      </c>
      <c r="E56" s="3">
        <v>60.82</v>
      </c>
      <c r="F56" s="3">
        <f t="shared" si="1"/>
        <v>24.353321575543802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4">
        <v>45376</v>
      </c>
      <c r="B57" t="s">
        <v>1</v>
      </c>
      <c r="C57" s="3">
        <v>172.74</v>
      </c>
      <c r="D57" s="3">
        <v>143.97999999999999</v>
      </c>
      <c r="E57" s="3">
        <v>72.75</v>
      </c>
      <c r="F57" s="3">
        <f t="shared" si="1"/>
        <v>28.762876287628782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4">
        <v>45378</v>
      </c>
      <c r="B58" t="s">
        <v>6</v>
      </c>
      <c r="C58" s="3">
        <v>118.54</v>
      </c>
      <c r="D58" s="3">
        <v>107.3</v>
      </c>
      <c r="E58" s="3">
        <v>65.45</v>
      </c>
      <c r="F58" s="3">
        <f t="shared" si="1"/>
        <v>21.171595404030906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4">
        <v>45378</v>
      </c>
      <c r="B59" t="s">
        <v>5</v>
      </c>
      <c r="C59" s="3">
        <v>124.85</v>
      </c>
      <c r="D59" s="3">
        <v>113.68</v>
      </c>
      <c r="E59" s="3">
        <v>63.55</v>
      </c>
      <c r="F59" s="3">
        <f t="shared" si="1"/>
        <v>18.221859706362135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4">
        <v>45378</v>
      </c>
      <c r="B60" t="s">
        <v>4</v>
      </c>
      <c r="C60" s="3">
        <v>140.35</v>
      </c>
      <c r="D60" s="3">
        <v>126.51</v>
      </c>
      <c r="E60" s="3">
        <v>67.22</v>
      </c>
      <c r="F60" s="3">
        <f t="shared" si="1"/>
        <v>18.925201695610543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4">
        <v>45378</v>
      </c>
      <c r="B61" t="s">
        <v>3</v>
      </c>
      <c r="C61" s="3">
        <v>116.21</v>
      </c>
      <c r="D61" s="3">
        <v>105.16</v>
      </c>
      <c r="E61" s="3">
        <v>64.92</v>
      </c>
      <c r="F61" s="3">
        <f t="shared" si="1"/>
        <v>21.544160655098459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4">
        <v>45378</v>
      </c>
      <c r="B62" t="s">
        <v>2</v>
      </c>
      <c r="C62" s="3">
        <v>159.49</v>
      </c>
      <c r="D62" s="3">
        <v>136.63999999999999</v>
      </c>
      <c r="E62" s="3">
        <v>60.82</v>
      </c>
      <c r="F62" s="3">
        <f t="shared" si="1"/>
        <v>23.158001418871002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4">
        <v>45378</v>
      </c>
      <c r="B63" t="s">
        <v>1</v>
      </c>
      <c r="C63" s="3">
        <v>131.35</v>
      </c>
      <c r="D63" s="3">
        <v>119.62</v>
      </c>
      <c r="E63" s="3">
        <v>72.75</v>
      </c>
      <c r="F63" s="3">
        <f t="shared" si="1"/>
        <v>20.017064846416368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"/>
      <c r="B64" s="1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2"/>
      <c r="B65" s="1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2"/>
      <c r="B66" s="1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2"/>
      <c r="B67" s="1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2"/>
      <c r="B68" s="1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"/>
      <c r="B69" s="1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"/>
      <c r="B70" s="1"/>
      <c r="C70" s="2"/>
      <c r="D70" s="2"/>
      <c r="E70" s="1"/>
      <c r="F70" s="1"/>
      <c r="G70" s="1" t="s"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"/>
      <c r="B71" s="1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"/>
      <c r="B72" s="1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"/>
      <c r="B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"/>
      <c r="B74" s="1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"/>
      <c r="B75" s="1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"/>
      <c r="B76" s="1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"/>
      <c r="B77" s="1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"/>
      <c r="B78" s="1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"/>
      <c r="B79" s="1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"/>
      <c r="B80" s="1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"/>
      <c r="B81" s="1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"/>
      <c r="B82" s="1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"/>
      <c r="B83" s="1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"/>
      <c r="B84" s="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"/>
      <c r="B85" s="1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"/>
      <c r="B86" s="1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"/>
      <c r="B87" s="1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"/>
      <c r="B88" s="1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"/>
      <c r="B89" s="1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"/>
      <c r="B90" s="1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"/>
      <c r="B91" s="1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"/>
      <c r="B92" s="1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"/>
      <c r="B93" s="1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"/>
      <c r="B94" s="1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"/>
      <c r="B95" s="1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"/>
      <c r="B96" s="1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"/>
      <c r="B97" s="1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"/>
      <c r="B98" s="1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"/>
      <c r="B99" s="1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"/>
      <c r="B100" s="1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"/>
      <c r="B101" s="1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"/>
      <c r="B102" s="1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"/>
      <c r="B103" s="1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"/>
      <c r="B104" s="1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"/>
      <c r="B105" s="1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2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2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2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2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2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2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2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2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2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2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2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2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2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2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2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2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2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2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2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2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2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2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2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2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2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2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2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2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2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2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2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2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2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2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2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2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2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2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2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2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2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2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2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2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7:26" ht="15.75" customHeight="1" x14ac:dyDescent="0.3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7:26" ht="15.75" customHeight="1" x14ac:dyDescent="0.3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7:26" ht="15.75" customHeight="1" x14ac:dyDescent="0.3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7:26" ht="15.75" customHeight="1" x14ac:dyDescent="0.3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7:26" ht="15.75" customHeight="1" x14ac:dyDescent="0.3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7:26" ht="15.75" customHeight="1" x14ac:dyDescent="0.3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7:26" ht="15.75" customHeight="1" x14ac:dyDescent="0.3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7:26" ht="15.75" customHeight="1" x14ac:dyDescent="0.3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7:26" ht="15.75" customHeight="1" x14ac:dyDescent="0.3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7:26" ht="15.75" customHeight="1" x14ac:dyDescent="0.3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7:26" ht="15.75" customHeight="1" x14ac:dyDescent="0.3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7:26" ht="15.75" customHeight="1" x14ac:dyDescent="0.3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7:26" ht="15.75" customHeight="1" x14ac:dyDescent="0.3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7:26" ht="15.75" customHeight="1" x14ac:dyDescent="0.3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7:26" ht="15.75" customHeight="1" x14ac:dyDescent="0.3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7:26" ht="15.75" customHeight="1" x14ac:dyDescent="0.3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7:26" ht="15.75" customHeight="1" x14ac:dyDescent="0.3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7:26" ht="15.75" customHeight="1" x14ac:dyDescent="0.3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7:26" ht="15.75" customHeight="1" x14ac:dyDescent="0.3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7:26" ht="15.75" customHeight="1" x14ac:dyDescent="0.3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UMID. A PARTIR DO P. DE PAMONHA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2024-11-29T02:14:45Z</dcterms:created>
  <dcterms:modified xsi:type="dcterms:W3CDTF">2024-11-29T02:48:50Z</dcterms:modified>
</cp:coreProperties>
</file>